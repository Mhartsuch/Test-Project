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artments" sheetId="1" state="visible" r:id="rId3"/>
    <sheet name="Read Me" sheetId="2" state="visible" r:id="rId4"/>
  </sheets>
  <definedNames>
    <definedName function="false" hidden="true" localSheetId="0" name="_xlnm._FilterDatabase" vbProcedure="false">Apartments!$A$1:$Q$37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<sst xmlns="http://schemas.openxmlformats.org/spreadsheetml/2006/main" count="352" uniqueCount="287">
  <si>
    <t xml:space="preserve">Name</t>
  </si>
  <si>
    <t xml:space="preserve">Address</t>
  </si>
  <si>
    <t xml:space="preserve">Zip</t>
  </si>
  <si>
    <t xml:space="preserve">Dist. from Walker Ranch (mi)</t>
  </si>
  <si>
    <t xml:space="preserve">1BR From ($/mo)</t>
  </si>
  <si>
    <t xml:space="preserve">2BR From ($/mo)</t>
  </si>
  <si>
    <t xml:space="preserve">3BR From ($/mo)</t>
  </si>
  <si>
    <t xml:space="preserve">Rent Details</t>
  </si>
  <si>
    <t xml:space="preserve">Rating (0-5)</t>
  </si>
  <si>
    <t xml:space="preserve">Rating Source</t>
  </si>
  <si>
    <t xml:space="preserve">Approx. Total Reviews</t>
  </si>
  <si>
    <t xml:space="preserve">Other Ratings / Review Notes</t>
  </si>
  <si>
    <t xml:space="preserve">Year Built</t>
  </si>
  <si>
    <t xml:space="preserve">Special (Jul 2026)</t>
  </si>
  <si>
    <t xml:space="preserve">Value Score</t>
  </si>
  <si>
    <t xml:space="preserve">Notes</t>
  </si>
  <si>
    <t xml:space="preserve">Sources</t>
  </si>
  <si>
    <t xml:space="preserve">Walker Ranch Apartment Homes</t>
  </si>
  <si>
    <t xml:space="preserve">14500 Blanco Rd</t>
  </si>
  <si>
    <t xml:space="preserve">78216</t>
  </si>
  <si>
    <t xml:space="preserve">1BR $917-$1,459; 2BR ~$1,297 avg; overall range $831-$2,378 (3BR at top)</t>
  </si>
  <si>
    <t xml:space="preserve">ApartmentRatings 172 reviews (mixed); Yelp 29 (mixed); BBB rating D- (51 unanswered complaints)</t>
  </si>
  <si>
    <t xml:space="preserve">2006</t>
  </si>
  <si>
    <t xml:space="preserve">6 weeks free</t>
  </si>
  <si>
    <t xml:space="preserve">Reference property. 325 units, 3 stories; 1-3BR 627-1,273 sqft; granite, 9' ceilings, 2 pools, fitness center, garages; managed by BH (Live BH)</t>
  </si>
  <si>
    <t xml:space="preserve">apartments.com/walker-ranch-apartment-homes-san-antonio-tx/fx31c1s; apartmentratings.com; yelp.com; bbb.org</t>
  </si>
  <si>
    <t xml:space="preserve">Charleston (fka Park at Walker's Ranch)</t>
  </si>
  <si>
    <t xml:space="preserve">14555 Blanco Rd</t>
  </si>
  <si>
    <t xml:space="preserve">1BR from ~$1,075; 2BR up to ~$1,690; overall $1,173-$2,389 (rent.com); no 3BR</t>
  </si>
  <si>
    <t xml:space="preserve">ApartmentRatings 167 reviews under old names (mixed); Yelp 21</t>
  </si>
  <si>
    <t xml:space="preserve">1995</t>
  </si>
  <si>
    <t xml:space="preserve">Directly across Blanco from Walker Ranch. 300 units; 1-2BR only; 2 pools, 24-hr gym, direct-access garages, pet park; Inland Residential; traffic noise from Blanco noted; formerly Village of Deerfield / Park at Walker's Ranch</t>
  </si>
  <si>
    <t xml:space="preserve">charlestonapartmenthomes.com; apartmentratings.com; yelp.com; rent.com</t>
  </si>
  <si>
    <t xml:space="preserve">Apex Apartments</t>
  </si>
  <si>
    <t xml:space="preserve">13999 Old Blanco Rd</t>
  </si>
  <si>
    <t xml:space="preserve">1BR from ~$675; townhome-style 2-3BR/2.5BA offered</t>
  </si>
  <si>
    <t xml:space="preserve">No numeric score surfaced; qualitative reviews: quiet, friendly staff</t>
  </si>
  <si>
    <t xml:space="preserve">1997</t>
  </si>
  <si>
    <t xml:space="preserve">1-3BR, 503+ sqft; 2 resort pools, fitness center, business center, clubhouse</t>
  </si>
  <si>
    <t xml:space="preserve">apexsanantonio.com; homes.com; rentcafe.com</t>
  </si>
  <si>
    <t xml:space="preserve">MAA Haven at Blanco</t>
  </si>
  <si>
    <t xml:space="preserve">15150 Blanco Rd</t>
  </si>
  <si>
    <t xml:space="preserve">78232</t>
  </si>
  <si>
    <t xml:space="preserve">1BR $943-$1,828; 2BR $1,303+; 3BR $1,638+; overall $1,038-$3,898</t>
  </si>
  <si>
    <t xml:space="preserve">ApartmentRatings</t>
  </si>
  <si>
    <t xml:space="preserve">Yelp 37</t>
  </si>
  <si>
    <t xml:space="preserve">~0.5 mi north of Walker Ranch. MAA-managed; full-size W/D in every unit, sunrooms, 2 gyms, dog park w/ wash station; some reviews cite car break-ins / broken gate</t>
  </si>
  <si>
    <t xml:space="preserve">apartmentratings.com/tx/san-antonio/maa-haven-at-blanco; maac.com; rentcafe.com</t>
  </si>
  <si>
    <t xml:space="preserve">Landera</t>
  </si>
  <si>
    <t xml:space="preserve">13400 Blanco Rd</t>
  </si>
  <si>
    <t xml:space="preserve">1BR $855-$985; 2BR $1,215+; no 3BR</t>
  </si>
  <si>
    <t xml:space="preserve">ForRent (44)</t>
  </si>
  <si>
    <t xml:space="preserve">4.0/5 iFind (88); ApartmentRatings 52; Yelp 13; BBB B-</t>
  </si>
  <si>
    <t xml:space="preserve">1983</t>
  </si>
  <si>
    <t xml:space="preserve">184 units; consistently praised office/maintenance staff and mature trees/grounds</t>
  </si>
  <si>
    <t xml:space="preserve">forrent.com/tx/san-antonio/landera; apartmentratings.com; yelp.com</t>
  </si>
  <si>
    <t xml:space="preserve">Seville</t>
  </si>
  <si>
    <t xml:space="preserve">13330 Blanco Rd</t>
  </si>
  <si>
    <t xml:space="preserve">1BR $799-$1,049; 2BR $1,400-$1,700; no 3BR</t>
  </si>
  <si>
    <t xml:space="preserve">Yelp 10; AR staff/maintenance sub-scores 1/5</t>
  </si>
  <si>
    <t xml:space="preserve">1982</t>
  </si>
  <si>
    <t xml:space="preserve">200 units, 8 floor plans; W/D connections, fireplaces, gated, pools, tennis, dog park; large units for the money but slow maintenance; airport noise</t>
  </si>
  <si>
    <t xml:space="preserve">apartmentratings.com/tx/san-antonio/seville-apartments; yelp.com; homes.com</t>
  </si>
  <si>
    <t xml:space="preserve">SKY at Salado Creek</t>
  </si>
  <si>
    <t xml:space="preserve">13030 Blanco Rd</t>
  </si>
  <si>
    <t xml:space="preserve">1BR $769-$775; 2BR $1,075-$1,325; no 3BR</t>
  </si>
  <si>
    <t xml:space="preserve">Facebook 86% recommend (16); ~13% below metro avg price</t>
  </si>
  <si>
    <t xml:space="preserve">1984</t>
  </si>
  <si>
    <t xml:space="preserve">212 units, 550-960 sqft; gated, pool, gym, dog park</t>
  </si>
  <si>
    <t xml:space="preserve">skyatsaladocreek.com; rent.com; apartmentfinder.com</t>
  </si>
  <si>
    <t xml:space="preserve">Hayden on West</t>
  </si>
  <si>
    <t xml:space="preserve">13515 West Ave</t>
  </si>
  <si>
    <t xml:space="preserve">1BR $1,044-$1,153; 2BR $1,303-$1,359; 3BR $1,608-$1,657</t>
  </si>
  <si>
    <t xml:space="preserve">ApartmentRatings (484 votes)</t>
  </si>
  <si>
    <t xml:space="preserve">epIQ grade A+; staff sub-score 4.9, safety 4.6</t>
  </si>
  <si>
    <t xml:space="preserve">1994</t>
  </si>
  <si>
    <t xml:space="preserve">664-1,269 sqft; strong reviews for staff, maintenance, quiet grounds; one of the best-reviewed in the area</t>
  </si>
  <si>
    <t xml:space="preserve">haydenonwest.com; apartmentratings.com/tx/san-antonio/hayden-on-west; apartmentlist.com</t>
  </si>
  <si>
    <t xml:space="preserve">Villas of Vista Del Norte</t>
  </si>
  <si>
    <t xml:space="preserve">13000 Vista Del Norte</t>
  </si>
  <si>
    <t xml:space="preserve">1BR from ~$940; 3BR up to ~$1,647</t>
  </si>
  <si>
    <t xml:space="preserve">Birdeye (aggregates Google)</t>
  </si>
  <si>
    <t xml:space="preserve">ApartmentRatings 100; Yelp 50 (mixed)</t>
  </si>
  <si>
    <t xml:space="preserve">348 units, 550-1,306 sqft; 3-level infinity pool, indoor basketball/volleyball, in-unit W/D, granite; complaints: parking, rent increases; airport flight-path noise</t>
  </si>
  <si>
    <t xml:space="preserve">apartmentratings.com; reviews.birdeye.com; yelp.com</t>
  </si>
  <si>
    <t xml:space="preserve">5 Fifty Apartments</t>
  </si>
  <si>
    <t xml:space="preserve">550 Heimer Rd</t>
  </si>
  <si>
    <t xml:space="preserve">1BR $850-$1,030; 2BR $1,235-$1,350; no 3BR</t>
  </si>
  <si>
    <t xml:space="preserve">No ratings surfaced</t>
  </si>
  <si>
    <t xml:space="preserve">1985</t>
  </si>
  <si>
    <t xml:space="preserve">204 units, 518-884 sqft; Bitters/Heimer area, NEISD schools</t>
  </si>
  <si>
    <t xml:space="preserve">apartments.com/5-fifty-apartments; apartmentfinder.com</t>
  </si>
  <si>
    <t xml:space="preserve">Ironridge at Hill Country Village</t>
  </si>
  <si>
    <t xml:space="preserve">15083 San Pedro Ave (US-281 N)</t>
  </si>
  <si>
    <t xml:space="preserve">1BR $1,579+; 2BR $1,675+; 3BR $1,982+</t>
  </si>
  <si>
    <t xml:space="preserve">340 rating votes on AR; Yelp 14</t>
  </si>
  <si>
    <t xml:space="preserve">Newer luxury community; townhomes with attached garages; gated; 281 corridor</t>
  </si>
  <si>
    <t xml:space="preserve">ironridgeapartments.com; apartmentratings.com; rentcafe.com</t>
  </si>
  <si>
    <t xml:space="preserve">La Calera Apartments</t>
  </si>
  <si>
    <t xml:space="preserve">403 Heimer Rd</t>
  </si>
  <si>
    <t xml:space="preserve">1BR $875-$899; 2BR up to ~$1,249; no 3BR</t>
  </si>
  <si>
    <t xml:space="preserve">ApartmentRatings 31 reviews (score not surfaced)</t>
  </si>
  <si>
    <t xml:space="preserve">517-905 sqft; Bitters/Heimer area</t>
  </si>
  <si>
    <t xml:space="preserve">apartments.com; apartmentratings.com; redfin.com</t>
  </si>
  <si>
    <t xml:space="preserve">Summit at Salado Creek</t>
  </si>
  <si>
    <t xml:space="preserve">12727 Vista Del Norte</t>
  </si>
  <si>
    <t xml:space="preserve">1BR $809-$899; 2BR $1,154-$1,200; 3BR $1,564-$2,192</t>
  </si>
  <si>
    <t xml:space="preserve">Birdeye 4.7 (81-191); Yelp 24</t>
  </si>
  <si>
    <t xml:space="preserve">1 month free</t>
  </si>
  <si>
    <t xml:space="preserve">352 units, 685-1,287 sqft; Greystar; near Salado Creek Greenway; clubhouse, 24-hr gym, sauna, resort pool; complaints: roaches, parking, fees; formerly Salado Springs</t>
  </si>
  <si>
    <t xml:space="preserve">apartmentratings.com/tx/san-antonio/summit-at-salado-creek; yelp.com</t>
  </si>
  <si>
    <t xml:space="preserve">Vista Crossing</t>
  </si>
  <si>
    <t xml:space="preserve">1110 Vista Valet</t>
  </si>
  <si>
    <t xml:space="preserve">1BR $770-$847; 2BR $1,278-$1,509; no 3BR</t>
  </si>
  <si>
    <t xml:space="preserve">ApartmentRatings 78 reviews (score not surfaced)</t>
  </si>
  <si>
    <t xml:space="preserve">232 units; hot tub, dog park, 2-story clubhouse</t>
  </si>
  <si>
    <t xml:space="preserve">apartmentratings.com; rentcafe.com; apartmentfinder.com</t>
  </si>
  <si>
    <t xml:space="preserve">Blair at Bitters</t>
  </si>
  <si>
    <t xml:space="preserve">400 W Bitters Rd</t>
  </si>
  <si>
    <t xml:space="preserve">1BR $827-$913 (one source $1,139-$1,330); 2BR $1,146-$1,640; no 3BR</t>
  </si>
  <si>
    <t xml:space="preserve">AR maintenance/safety sub-scores low (1/5 staff &amp; maintenance)</t>
  </si>
  <si>
    <t xml:space="preserve">1986</t>
  </si>
  <si>
    <t xml:space="preserve">$500 off</t>
  </si>
  <si>
    <t xml:space="preserve">190 units; garden-style; stone facades, black appliances, plank floors; 2 pools, fitness center; formerly Bitterwood Ranch</t>
  </si>
  <si>
    <t xml:space="preserve">apartmentratings.com; apartmentlist.com; umovefree.com</t>
  </si>
  <si>
    <t xml:space="preserve">The Broadwater at Salado Creek</t>
  </si>
  <si>
    <t xml:space="preserve">12626 Blanco Rd</t>
  </si>
  <si>
    <t xml:space="preserve">1BR $870-$919; 2BR up to $1,449; no 3BR</t>
  </si>
  <si>
    <t xml:space="preserve">ApartmentGuide</t>
  </si>
  <si>
    <t xml:space="preserve">Only 2 reviews - low confidence</t>
  </si>
  <si>
    <t xml:space="preserve">175 units; in-unit laundry, fireplaces, sports courts</t>
  </si>
  <si>
    <t xml:space="preserve">apartmentguide.com; apartmentfinder.com; rentcafe.com</t>
  </si>
  <si>
    <t xml:space="preserve">Cortland Walker Ranch</t>
  </si>
  <si>
    <t xml:space="preserve">12803 West Ave</t>
  </si>
  <si>
    <t xml:space="preserve">1BR $1,060-$1,125; 2BR $1,558-$1,699; 3BR $2,525+ (premium units to ~$7,000)</t>
  </si>
  <si>
    <t xml:space="preserve">Google</t>
  </si>
  <si>
    <t xml:space="preserve">ApartmentRatings 120 (grounds 4.6, staff 4.7, neighborhood 4.5) - best-rated large community in the set</t>
  </si>
  <si>
    <t xml:space="preserve">Adjacent to Walker Ranch Park trails; resort pool, bark park, granite/stainless; pet limit 2 / 80 lb; NEISD schools</t>
  </si>
  <si>
    <t xml:space="preserve">cortland.com/apartments/cortland-walker-ranch; apartmentratings.com; apartments.com</t>
  </si>
  <si>
    <t xml:space="preserve">Indian Hollow</t>
  </si>
  <si>
    <t xml:space="preserve">12701 West Ave</t>
  </si>
  <si>
    <t xml:space="preserve">1BR $965-$1,140; 2BR $1,310-$1,395; 3BR $1,835-$2,000</t>
  </si>
  <si>
    <t xml:space="preserve">ApartmentRatings 153; Yelp 22</t>
  </si>
  <si>
    <t xml:space="preserve">Well-maintained grounds; strict management (late-fee complaints); some pest complaints, others praise management</t>
  </si>
  <si>
    <t xml:space="preserve">apartmentratings.com; reviews.birdeye.com; apartments.com</t>
  </si>
  <si>
    <t xml:space="preserve">Camino Real San Antonio</t>
  </si>
  <si>
    <t xml:space="preserve">12222 Blanco Rd</t>
  </si>
  <si>
    <t xml:space="preserve">1BR $633-$900+; 2BR up to ~$1,380; 3BR up to ~$1,283 (source conflict)</t>
  </si>
  <si>
    <t xml:space="preserve">ApartmentRatings 21; Yelp 2; reviews cite break-ins, pests, safety concerns</t>
  </si>
  <si>
    <t xml:space="preserve">Gated, pool, gym, tennis; 1-3BR; caution flags in reviews</t>
  </si>
  <si>
    <t xml:space="preserve">apartmentratings.com; yelp.com; apartments.com</t>
  </si>
  <si>
    <t xml:space="preserve">Escalante</t>
  </si>
  <si>
    <t xml:space="preserve">1540 W Bitters Rd</t>
  </si>
  <si>
    <t xml:space="preserve">78248</t>
  </si>
  <si>
    <t xml:space="preserve">1BR $971-$972; 2BR $1,418+; 3BR $1,999-$2,674</t>
  </si>
  <si>
    <t xml:space="preserve">ApartmentRatings ~3.0 (64); 94% recommend (15/16); Yelp 25; slow maintenance per reviews</t>
  </si>
  <si>
    <t xml:space="preserve">665-1,313 sqft; near Hardberger Park / Loop 1604</t>
  </si>
  <si>
    <t xml:space="preserve">apartmentratings.com; forrent.com; reviews.birdeye.com</t>
  </si>
  <si>
    <t xml:space="preserve">Harper at the Park</t>
  </si>
  <si>
    <t xml:space="preserve">950 E Bitters Rd</t>
  </si>
  <si>
    <t xml:space="preserve">1BR $685-$815; 2BR $1,025-$1,334; no 3BR</t>
  </si>
  <si>
    <t xml:space="preserve">Zumper expert score 9.6/10</t>
  </si>
  <si>
    <t xml:space="preserve">1979</t>
  </si>
  <si>
    <t xml:space="preserve">221 units; 2 pools, cardio center, dog park; budget-friendly; recent management change noted</t>
  </si>
  <si>
    <t xml:space="preserve">apartmentratings.com; zumper.com; umovefree.com</t>
  </si>
  <si>
    <t xml:space="preserve">Moss Landing (fka Residences on Blanco)</t>
  </si>
  <si>
    <t xml:space="preserve">12301 Blanco Rd</t>
  </si>
  <si>
    <t xml:space="preserve">1BR from ~$499 (small units 475-905 sqft)</t>
  </si>
  <si>
    <t xml:space="preserve">ForRent 3.7; Birdeye 277 reviews; widespread dissatisfaction / deferred maintenance in reviews</t>
  </si>
  <si>
    <t xml:space="preserve">296 units; cheapest option found (~34% below area average); budget trade-offs are significant</t>
  </si>
  <si>
    <t xml:space="preserve">apartments.com/moss-landing; apartmentratings.com; forrent.com</t>
  </si>
  <si>
    <t xml:space="preserve">Talavera Apartments</t>
  </si>
  <si>
    <t xml:space="preserve">107 Talavera Pkwy</t>
  </si>
  <si>
    <t xml:space="preserve">1BR $1,017-$1,531</t>
  </si>
  <si>
    <t xml:space="preserve">Near US-281/Bitters</t>
  </si>
  <si>
    <t xml:space="preserve">apartments.com</t>
  </si>
  <si>
    <t xml:space="preserve">The WerX (fka The Elements)</t>
  </si>
  <si>
    <t xml:space="preserve">12221 Blanco Rd</t>
  </si>
  <si>
    <t xml:space="preserve">1BR $725-$950; overall range up to $1,375 (3BR top)</t>
  </si>
  <si>
    <t xml:space="preserve">ApartmentRatings (as The Elements)</t>
  </si>
  <si>
    <t xml:space="preserve">Historical complaints: roaches, water shutoffs; renovated units since</t>
  </si>
  <si>
    <t xml:space="preserve">1975</t>
  </si>
  <si>
    <t xml:space="preserve">280 units, 2 stories; pool, gym, courtesy patrol; budget option</t>
  </si>
  <si>
    <t xml:space="preserve">apartments.com/the-werx; apartmentratings.com; umovefree.com</t>
  </si>
  <si>
    <t xml:space="preserve">Aria Apartment Homes</t>
  </si>
  <si>
    <t xml:space="preserve">16585 Blanco Rd</t>
  </si>
  <si>
    <t xml:space="preserve">1BR ~$1,175+; 2BR up to ~$1,585; no 3BR</t>
  </si>
  <si>
    <t xml:space="preserve">ApartmentRatings 50 reviews (mixed); complaints: maintenance, noise, parking</t>
  </si>
  <si>
    <t xml:space="preserve">670-1,206 sqft; ~2.3 mi north on Blanco</t>
  </si>
  <si>
    <t xml:space="preserve">apartmentratings.com/tx/san-antonio/aria-apartment-homes</t>
  </si>
  <si>
    <t xml:space="preserve">Astra (fka Park West)</t>
  </si>
  <si>
    <t xml:space="preserve">11845 West Ave</t>
  </si>
  <si>
    <t xml:space="preserve">Studio from $605; 1BR $665-$695; 2BR $895-$1,065; no 3BR</t>
  </si>
  <si>
    <t xml:space="preserve">No numeric ratings surfaced</t>
  </si>
  <si>
    <t xml:space="preserve">413-905 sqft; partially renovated units; ~39% below citywide average; near Loop 410</t>
  </si>
  <si>
    <t xml:space="preserve">apartments.com/astra; trulia.com; rentable.co</t>
  </si>
  <si>
    <t xml:space="preserve">Platinum Shavano Oaks</t>
  </si>
  <si>
    <t xml:space="preserve">14811 Huebner Rd</t>
  </si>
  <si>
    <t xml:space="preserve">78231</t>
  </si>
  <si>
    <t xml:space="preserve">1BR $1,016-$1,332; 2BR $1,690+; 3BR $2,045+</t>
  </si>
  <si>
    <t xml:space="preserve">Zumper expert 9.6/10; Yelp 47; ApartmentRatings 26</t>
  </si>
  <si>
    <t xml:space="preserve">2013</t>
  </si>
  <si>
    <t xml:space="preserve">348 units; studio-3BR luxury; newest construction in the set</t>
  </si>
  <si>
    <t xml:space="preserve">reviews.birdeye.com; zumper.com; apartmentratings.com</t>
  </si>
  <si>
    <t xml:space="preserve">Stoneleigh Apartments</t>
  </si>
  <si>
    <t xml:space="preserve">2626 Thousand Oaks Dr</t>
  </si>
  <si>
    <t xml:space="preserve">1BR $810-$880; 2BR $1,075-$1,195; some sources list 3BR $1,495+</t>
  </si>
  <si>
    <t xml:space="preserve">200 units; wood-burning fireplaces, pet wash</t>
  </si>
  <si>
    <t xml:space="preserve">apartmentfinder.com; homes.com; har.com</t>
  </si>
  <si>
    <t xml:space="preserve">Remington Ranch</t>
  </si>
  <si>
    <t xml:space="preserve">12511 Jones Maltsberger Rd</t>
  </si>
  <si>
    <t xml:space="preserve">78247</t>
  </si>
  <si>
    <t xml:space="preserve">1BR from ~$990</t>
  </si>
  <si>
    <t xml:space="preserve">2007</t>
  </si>
  <si>
    <t xml:space="preserve">180 units, 630-1,157 sqft; lit pool, outdoor fireplace lounge, package lockers; Arboretum area</t>
  </si>
  <si>
    <t xml:space="preserve">apartments.com/remington-ranch; zumper.com</t>
  </si>
  <si>
    <t xml:space="preserve">Sunset Canyon</t>
  </si>
  <si>
    <t xml:space="preserve">2170 Thousand Oaks Dr</t>
  </si>
  <si>
    <t xml:space="preserve">Studio from $625; 1BR $683+; 2BR up to $1,291; no 3BR</t>
  </si>
  <si>
    <t xml:space="preserve">AR staff &amp; grounds sub-scores 5/5 despite low overall; Yelp 26</t>
  </si>
  <si>
    <t xml:space="preserve">480-970 sqft; CLEAR Property Mgmt; among cheapest in the set</t>
  </si>
  <si>
    <t xml:space="preserve">apartmentratings.com; rentcafe.com; yelp.com</t>
  </si>
  <si>
    <t xml:space="preserve">Alon at Castle Hills</t>
  </si>
  <si>
    <t xml:space="preserve">1835 Lockhill Selma Rd</t>
  </si>
  <si>
    <t xml:space="preserve">78213</t>
  </si>
  <si>
    <t xml:space="preserve">1BR $849-$905; 2BR $1,230+; no 3BR</t>
  </si>
  <si>
    <t xml:space="preserve">Yelp 21 (score not surfaced)</t>
  </si>
  <si>
    <t xml:space="preserve">535-1,065 sqft; resort pool, movie theater, clubhouse; Castle Hills area, edge of radius</t>
  </si>
  <si>
    <t xml:space="preserve">apartments.com; yelp.com</t>
  </si>
  <si>
    <t xml:space="preserve">Ashley Oaks</t>
  </si>
  <si>
    <t xml:space="preserve">16400 Henderson Pass</t>
  </si>
  <si>
    <t xml:space="preserve">1BR $740-$780; 3BR up to $2,235</t>
  </si>
  <si>
    <t xml:space="preserve">ForRent 4.0 (50); Birdeye 400 reviews</t>
  </si>
  <si>
    <t xml:space="preserve">1-3BR; Thousand Oaks neighborhood; edge of 3-mile radius</t>
  </si>
  <si>
    <t xml:space="preserve">Canyon Oaks</t>
  </si>
  <si>
    <t xml:space="preserve">16500 Henderson Pass</t>
  </si>
  <si>
    <t xml:space="preserve">1BR $1,006-$1,502; 2BR up to $1,497; listed range $1,000-$2,276</t>
  </si>
  <si>
    <t xml:space="preserve">Yelp 21</t>
  </si>
  <si>
    <t xml:space="preserve">720-1,075 sqft; some units w/ 2.5 baths; edge of radius</t>
  </si>
  <si>
    <t xml:space="preserve">apartmentratings.com; apartments.com</t>
  </si>
  <si>
    <t xml:space="preserve">Canyon Point</t>
  </si>
  <si>
    <t xml:space="preserve">16550 Henderson Pass</t>
  </si>
  <si>
    <t xml:space="preserve">1BR $762-$955; 2BR $930-$1,480; no 3BR</t>
  </si>
  <si>
    <t xml:space="preserve">ApartmentRatings 88 (score not surfaced); Yelp 19; complaints: AC, package theft</t>
  </si>
  <si>
    <t xml:space="preserve">Hill-country setting; edge of radius</t>
  </si>
  <si>
    <t xml:space="preserve">apartmentratings.com; forrent.com; yelp.com</t>
  </si>
  <si>
    <t xml:space="preserve">Royal Palms</t>
  </si>
  <si>
    <t xml:space="preserve">16100 Henderson Pass</t>
  </si>
  <si>
    <t xml:space="preserve">1BR $899-$1,025</t>
  </si>
  <si>
    <t xml:space="preserve">Edge of radius</t>
  </si>
  <si>
    <t xml:space="preserve">Summit at Henderson Pass</t>
  </si>
  <si>
    <t xml:space="preserve">16465 Henderson Pass</t>
  </si>
  <si>
    <t xml:space="preserve">1BR $678-$758; 2BR up to $1,047-$1,207; no 3BR</t>
  </si>
  <si>
    <t xml:space="preserve">ApartmentRatings 102 reviews (mixed, score not surfaced)</t>
  </si>
  <si>
    <t xml:space="preserve">Renovated 1-2BR, 550-927 sqft; gated, 2 pools; formerly Villas of Henderson Pass; edge of radius</t>
  </si>
  <si>
    <t xml:space="preserve">apartments.com; apartmentratings.com; rentcafe.com</t>
  </si>
  <si>
    <t xml:space="preserve">Apartments near Walker Ranch - San Antonio, TX</t>
  </si>
  <si>
    <t xml:space="preserve">Purpose</t>
  </si>
  <si>
    <t xml:space="preserve">Comparison of apartment communities within ~3 miles of the Walker Ranch area (14500 Blanco Rd, San Antonio, TX 78216 - Blanco Rd / West Ave corridor, North Central San Antonio). Use the filter arrows on the Apartments sheet to sort by price, rating, or Value Score.</t>
  </si>
  <si>
    <t xml:space="preserve">Data collected</t>
  </si>
  <si>
    <t xml:space="preserve">2026-07-21, from web listings: Apartments.com, ApartmentRatings, ApartmentList, Rent.com, RentCafe, Zumper, ForRent, ApartmentFinder, Yelp, Birdeye (Google review aggregate), Facebook, and property websites.</t>
  </si>
  <si>
    <t xml:space="preserve">Column legend</t>
  </si>
  <si>
    <t xml:space="preserve">1BR/2BR/3BR From ($/mo)</t>
  </si>
  <si>
    <t xml:space="preserve">Lowest ADVERTISED starting rent found for that bedroom count. Blank = not found or not offered (see Rent Details). Advertised rents change weekly and differ between listing sites by $100-$300.</t>
  </si>
  <si>
    <t xml:space="preserve">Full ranges found, source conflicts, and whether a bedroom size is offered at all.</t>
  </si>
  <si>
    <t xml:space="preserve">Primary review score, from the source in the next column. Blank = no numeric score surfaced (review counts may still exist - see Other Ratings).</t>
  </si>
  <si>
    <t xml:space="preserve">Approximate combined review count across sources - use to judge how much to trust the rating.</t>
  </si>
  <si>
    <t xml:space="preserve">Formula: rating divided by (1BR starting rent / $1,000). Higher = better reviews per dollar. Only computed where both a rating and a 1BR price exist. A rough screening aid, not a verdict.</t>
  </si>
  <si>
    <t xml:space="preserve">Move-in concession advertised at collection time. These lower the effective rent materially (e.g., 6 weeks free on a 12-mo lease is ~11% off).</t>
  </si>
  <si>
    <t xml:space="preserve">Caveats</t>
  </si>
  <si>
    <t xml:space="preserve">Advertised vs. actual</t>
  </si>
  <si>
    <t xml:space="preserve">All rents are advertised 'starting at' prices from listing-site snapshots as of July 2026, not quotes. Several properties run concessions that make net effective rent lower than face rent.</t>
  </si>
  <si>
    <t xml:space="preserve">Ratings sources vary</t>
  </si>
  <si>
    <t xml:space="preserve">Google star ratings could only be confirmed for some properties; most scores are ApartmentRatings, Birdeye (aggregates Google), ForRent, or Yelp. Scores for the same property differ across platforms - check Other Ratings column.</t>
  </si>
  <si>
    <t xml:space="preserve">Recent renames</t>
  </si>
  <si>
    <t xml:space="preserve">Several properties recently rebranded; older reviews sit under the old name and may not reflect current management: Charleston = Park at Walker's Ranch; Moss Landing = Residences on Blanco; The WerX = The Elements; Astra = Park West; Summit at Salado Creek = Salado Springs; Summit at Henderson Pass = Villas of Henderson Pass; Blair at Bitters = Bitterwood Ranch.</t>
  </si>
  <si>
    <t xml:space="preserve">Distances</t>
  </si>
  <si>
    <t xml:space="preserve">Straight-line/road estimates from 14500 Blanco Rd, not measured driving distances. Henderson Pass / Castle Hills rows sit at the ~3-mile edge.</t>
  </si>
  <si>
    <t xml:space="preserve">Verify before touring</t>
  </si>
  <si>
    <t xml:space="preserve">Call properties for current pricing and read recent reviews directly - this sheet is a screening tool assembled from public web data.</t>
  </si>
  <si>
    <t xml:space="preserve">Quick stats (live formulas)</t>
  </si>
  <si>
    <t xml:space="preserve">Communities listed</t>
  </si>
  <si>
    <t xml:space="preserve">Cheapest 1BR from</t>
  </si>
  <si>
    <t xml:space="preserve">Most expensive 1BR from</t>
  </si>
  <si>
    <t xml:space="preserve">Average 1BR from</t>
  </si>
  <si>
    <t xml:space="preserve">Highest rating</t>
  </si>
  <si>
    <t xml:space="preserve">Average rating (rated only)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</si>
</sst>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\$#,##0"/>
    <numFmt numFmtId="167" formatCode="#,##0"/>
    <numFmt numFmtId="168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7"/>
    <col collapsed="false" customWidth="true" hidden="false" outlineLevel="0" max="7" min="4" style="0" width="10"/>
    <col collapsed="false" customWidth="true" hidden="false" outlineLevel="0" max="8" min="8" style="0" width="40"/>
    <col collapsed="false" customWidth="true" hidden="false" outlineLevel="0" max="9" min="9" style="0" width="8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40"/>
    <col collapsed="false" customWidth="true" hidden="false" outlineLevel="0" max="13" min="13" style="0" width="8"/>
    <col collapsed="false" customWidth="true" hidden="false" outlineLevel="0" max="14" min="14" style="0" width="14"/>
    <col collapsed="false" customWidth="true" hidden="false" outlineLevel="0" max="15" min="15" style="0" width="8"/>
    <col collapsed="false" customWidth="true" hidden="false" outlineLevel="0" max="16" min="16" style="0" width="55"/>
    <col collapsed="false" customWidth="true" hidden="false" outlineLevel="0" max="17" min="17" style="0" width="40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23.85" hidden="false" customHeight="false" outlineLevel="0" collapsed="false">
      <c r="A2" s="2" t="s">
        <v>17</v>
      </c>
      <c r="B2" s="2" t="s">
        <v>18</v>
      </c>
      <c r="C2" s="3" t="s">
        <v>19</v>
      </c>
      <c r="D2" s="4" t="n">
        <v>0</v>
      </c>
      <c r="E2" s="5" t="n">
        <v>917</v>
      </c>
      <c r="F2" s="5" t="n">
        <v>1297</v>
      </c>
      <c r="G2" s="5"/>
      <c r="H2" s="2" t="s">
        <v>20</v>
      </c>
      <c r="I2" s="4"/>
      <c r="J2" s="2"/>
      <c r="K2" s="6" t="n">
        <v>201</v>
      </c>
      <c r="L2" s="2" t="s">
        <v>21</v>
      </c>
      <c r="M2" s="3" t="s">
        <v>22</v>
      </c>
      <c r="N2" s="3" t="s">
        <v>23</v>
      </c>
      <c r="O2" s="7" t="str">
        <f aca="false">IF(OR(I2="",E2="",E2=0),"",ROUND(I2/(E2/1000),2))</f>
        <v/>
      </c>
      <c r="P2" s="2" t="s">
        <v>24</v>
      </c>
      <c r="Q2" s="2" t="s">
        <v>25</v>
      </c>
    </row>
    <row r="3" customFormat="false" ht="35.05" hidden="false" customHeight="false" outlineLevel="0" collapsed="false">
      <c r="A3" s="2" t="s">
        <v>26</v>
      </c>
      <c r="B3" s="2" t="s">
        <v>27</v>
      </c>
      <c r="C3" s="3" t="s">
        <v>19</v>
      </c>
      <c r="D3" s="4" t="n">
        <v>0.1</v>
      </c>
      <c r="E3" s="5" t="n">
        <v>1075</v>
      </c>
      <c r="F3" s="5"/>
      <c r="G3" s="5"/>
      <c r="H3" s="2" t="s">
        <v>28</v>
      </c>
      <c r="I3" s="4"/>
      <c r="J3" s="2"/>
      <c r="K3" s="6" t="n">
        <v>188</v>
      </c>
      <c r="L3" s="2" t="s">
        <v>29</v>
      </c>
      <c r="M3" s="3" t="s">
        <v>30</v>
      </c>
      <c r="N3" s="3"/>
      <c r="O3" s="7" t="str">
        <f aca="false">IF(OR(I3="",E3="",E3=0),"",ROUND(I3/(E3/1000),2))</f>
        <v/>
      </c>
      <c r="P3" s="2" t="s">
        <v>31</v>
      </c>
      <c r="Q3" s="2" t="s">
        <v>32</v>
      </c>
    </row>
    <row r="4" customFormat="false" ht="23.85" hidden="false" customHeight="false" outlineLevel="0" collapsed="false">
      <c r="A4" s="2" t="s">
        <v>33</v>
      </c>
      <c r="B4" s="2" t="s">
        <v>34</v>
      </c>
      <c r="C4" s="3" t="s">
        <v>19</v>
      </c>
      <c r="D4" s="4" t="n">
        <v>0.5</v>
      </c>
      <c r="E4" s="5" t="n">
        <v>675</v>
      </c>
      <c r="F4" s="5"/>
      <c r="G4" s="5"/>
      <c r="H4" s="2" t="s">
        <v>35</v>
      </c>
      <c r="I4" s="4"/>
      <c r="J4" s="2"/>
      <c r="K4" s="6"/>
      <c r="L4" s="2" t="s">
        <v>36</v>
      </c>
      <c r="M4" s="3" t="s">
        <v>37</v>
      </c>
      <c r="N4" s="3"/>
      <c r="O4" s="7" t="str">
        <f aca="false">IF(OR(I4="",E4="",E4=0),"",ROUND(I4/(E4/1000),2))</f>
        <v/>
      </c>
      <c r="P4" s="2" t="s">
        <v>38</v>
      </c>
      <c r="Q4" s="2" t="s">
        <v>39</v>
      </c>
    </row>
    <row r="5" customFormat="false" ht="23.85" hidden="false" customHeight="false" outlineLevel="0" collapsed="false">
      <c r="A5" s="2" t="s">
        <v>40</v>
      </c>
      <c r="B5" s="2" t="s">
        <v>41</v>
      </c>
      <c r="C5" s="3" t="s">
        <v>42</v>
      </c>
      <c r="D5" s="4" t="n">
        <v>0.5</v>
      </c>
      <c r="E5" s="5" t="n">
        <v>943</v>
      </c>
      <c r="F5" s="5" t="n">
        <v>1303</v>
      </c>
      <c r="G5" s="5" t="n">
        <v>1638</v>
      </c>
      <c r="H5" s="2" t="s">
        <v>43</v>
      </c>
      <c r="I5" s="4" t="n">
        <v>4.2</v>
      </c>
      <c r="J5" s="2" t="s">
        <v>44</v>
      </c>
      <c r="K5" s="6" t="n">
        <v>681</v>
      </c>
      <c r="L5" s="2" t="s">
        <v>45</v>
      </c>
      <c r="M5" s="3"/>
      <c r="N5" s="3"/>
      <c r="O5" s="7" t="n">
        <f aca="false">IF(OR(I5="",E5="",E5=0),"",ROUND(I5/(E5/1000),2))</f>
        <v>4.45</v>
      </c>
      <c r="P5" s="2" t="s">
        <v>46</v>
      </c>
      <c r="Q5" s="2" t="s">
        <v>47</v>
      </c>
    </row>
    <row r="6" customFormat="false" ht="23.85" hidden="false" customHeight="false" outlineLevel="0" collapsed="false">
      <c r="A6" s="2" t="s">
        <v>48</v>
      </c>
      <c r="B6" s="2" t="s">
        <v>49</v>
      </c>
      <c r="C6" s="3" t="s">
        <v>19</v>
      </c>
      <c r="D6" s="4" t="n">
        <v>0.9</v>
      </c>
      <c r="E6" s="5" t="n">
        <v>855</v>
      </c>
      <c r="F6" s="5" t="n">
        <v>1215</v>
      </c>
      <c r="G6" s="5"/>
      <c r="H6" s="2" t="s">
        <v>50</v>
      </c>
      <c r="I6" s="4" t="n">
        <v>4.2</v>
      </c>
      <c r="J6" s="2" t="s">
        <v>51</v>
      </c>
      <c r="K6" s="6" t="n">
        <v>132</v>
      </c>
      <c r="L6" s="2" t="s">
        <v>52</v>
      </c>
      <c r="M6" s="3" t="s">
        <v>53</v>
      </c>
      <c r="N6" s="3"/>
      <c r="O6" s="7" t="n">
        <f aca="false">IF(OR(I6="",E6="",E6=0),"",ROUND(I6/(E6/1000),2))</f>
        <v>4.91</v>
      </c>
      <c r="P6" s="2" t="s">
        <v>54</v>
      </c>
      <c r="Q6" s="2" t="s">
        <v>55</v>
      </c>
    </row>
    <row r="7" customFormat="false" ht="23.85" hidden="false" customHeight="false" outlineLevel="0" collapsed="false">
      <c r="A7" s="2" t="s">
        <v>56</v>
      </c>
      <c r="B7" s="2" t="s">
        <v>57</v>
      </c>
      <c r="C7" s="3" t="s">
        <v>19</v>
      </c>
      <c r="D7" s="4" t="n">
        <v>1</v>
      </c>
      <c r="E7" s="5" t="n">
        <v>799</v>
      </c>
      <c r="F7" s="5" t="n">
        <v>1400</v>
      </c>
      <c r="G7" s="5"/>
      <c r="H7" s="2" t="s">
        <v>58</v>
      </c>
      <c r="I7" s="4" t="n">
        <v>3.1</v>
      </c>
      <c r="J7" s="2" t="s">
        <v>44</v>
      </c>
      <c r="K7" s="6" t="n">
        <v>141</v>
      </c>
      <c r="L7" s="2" t="s">
        <v>59</v>
      </c>
      <c r="M7" s="3" t="s">
        <v>60</v>
      </c>
      <c r="N7" s="3"/>
      <c r="O7" s="7" t="n">
        <f aca="false">IF(OR(I7="",E7="",E7=0),"",ROUND(I7/(E7/1000),2))</f>
        <v>3.88</v>
      </c>
      <c r="P7" s="2" t="s">
        <v>61</v>
      </c>
      <c r="Q7" s="2" t="s">
        <v>62</v>
      </c>
    </row>
    <row r="8" customFormat="false" ht="15" hidden="false" customHeight="false" outlineLevel="0" collapsed="false">
      <c r="A8" s="2" t="s">
        <v>63</v>
      </c>
      <c r="B8" s="2" t="s">
        <v>64</v>
      </c>
      <c r="C8" s="3" t="s">
        <v>19</v>
      </c>
      <c r="D8" s="4" t="n">
        <v>1.2</v>
      </c>
      <c r="E8" s="5" t="n">
        <v>769</v>
      </c>
      <c r="F8" s="5" t="n">
        <v>1075</v>
      </c>
      <c r="G8" s="5"/>
      <c r="H8" s="2" t="s">
        <v>65</v>
      </c>
      <c r="I8" s="4"/>
      <c r="J8" s="2"/>
      <c r="K8" s="6" t="n">
        <v>16</v>
      </c>
      <c r="L8" s="2" t="s">
        <v>66</v>
      </c>
      <c r="M8" s="3" t="s">
        <v>67</v>
      </c>
      <c r="N8" s="3"/>
      <c r="O8" s="7" t="str">
        <f aca="false">IF(OR(I8="",E8="",E8=0),"",ROUND(I8/(E8/1000),2))</f>
        <v/>
      </c>
      <c r="P8" s="2" t="s">
        <v>68</v>
      </c>
      <c r="Q8" s="2" t="s">
        <v>69</v>
      </c>
    </row>
    <row r="9" customFormat="false" ht="35.05" hidden="false" customHeight="false" outlineLevel="0" collapsed="false">
      <c r="A9" s="2" t="s">
        <v>70</v>
      </c>
      <c r="B9" s="2" t="s">
        <v>71</v>
      </c>
      <c r="C9" s="3" t="s">
        <v>19</v>
      </c>
      <c r="D9" s="4" t="n">
        <v>1.3</v>
      </c>
      <c r="E9" s="5" t="n">
        <v>1044</v>
      </c>
      <c r="F9" s="5" t="n">
        <v>1303</v>
      </c>
      <c r="G9" s="5" t="n">
        <v>1608</v>
      </c>
      <c r="H9" s="2" t="s">
        <v>72</v>
      </c>
      <c r="I9" s="4" t="n">
        <v>4.2</v>
      </c>
      <c r="J9" s="2" t="s">
        <v>73</v>
      </c>
      <c r="K9" s="6" t="n">
        <v>298</v>
      </c>
      <c r="L9" s="2" t="s">
        <v>74</v>
      </c>
      <c r="M9" s="3" t="s">
        <v>75</v>
      </c>
      <c r="N9" s="3"/>
      <c r="O9" s="7" t="n">
        <f aca="false">IF(OR(I9="",E9="",E9=0),"",ROUND(I9/(E9/1000),2))</f>
        <v>4.02</v>
      </c>
      <c r="P9" s="2" t="s">
        <v>76</v>
      </c>
      <c r="Q9" s="2" t="s">
        <v>77</v>
      </c>
    </row>
    <row r="10" customFormat="false" ht="23.85" hidden="false" customHeight="false" outlineLevel="0" collapsed="false">
      <c r="A10" s="2" t="s">
        <v>78</v>
      </c>
      <c r="B10" s="2" t="s">
        <v>79</v>
      </c>
      <c r="C10" s="3" t="s">
        <v>19</v>
      </c>
      <c r="D10" s="4" t="n">
        <v>1.4</v>
      </c>
      <c r="E10" s="5" t="n">
        <v>940</v>
      </c>
      <c r="F10" s="5"/>
      <c r="G10" s="5"/>
      <c r="H10" s="2" t="s">
        <v>80</v>
      </c>
      <c r="I10" s="4" t="n">
        <v>4.6</v>
      </c>
      <c r="J10" s="2" t="s">
        <v>81</v>
      </c>
      <c r="K10" s="6" t="n">
        <v>203</v>
      </c>
      <c r="L10" s="2" t="s">
        <v>82</v>
      </c>
      <c r="M10" s="3" t="s">
        <v>22</v>
      </c>
      <c r="N10" s="3"/>
      <c r="O10" s="7" t="n">
        <f aca="false">IF(OR(I10="",E10="",E10=0),"",ROUND(I10/(E10/1000),2))</f>
        <v>4.89</v>
      </c>
      <c r="P10" s="2" t="s">
        <v>83</v>
      </c>
      <c r="Q10" s="2" t="s">
        <v>84</v>
      </c>
    </row>
    <row r="11" customFormat="false" ht="15" hidden="false" customHeight="false" outlineLevel="0" collapsed="false">
      <c r="A11" s="2" t="s">
        <v>85</v>
      </c>
      <c r="B11" s="2" t="s">
        <v>86</v>
      </c>
      <c r="C11" s="3" t="s">
        <v>42</v>
      </c>
      <c r="D11" s="4" t="n">
        <v>1.5</v>
      </c>
      <c r="E11" s="5" t="n">
        <v>850</v>
      </c>
      <c r="F11" s="5" t="n">
        <v>1235</v>
      </c>
      <c r="G11" s="5"/>
      <c r="H11" s="2" t="s">
        <v>87</v>
      </c>
      <c r="I11" s="4"/>
      <c r="J11" s="2"/>
      <c r="K11" s="6"/>
      <c r="L11" s="2" t="s">
        <v>88</v>
      </c>
      <c r="M11" s="3" t="s">
        <v>89</v>
      </c>
      <c r="N11" s="3"/>
      <c r="O11" s="7" t="str">
        <f aca="false">IF(OR(I11="",E11="",E11=0),"",ROUND(I11/(E11/1000),2))</f>
        <v/>
      </c>
      <c r="P11" s="2" t="s">
        <v>90</v>
      </c>
      <c r="Q11" s="2" t="s">
        <v>91</v>
      </c>
    </row>
    <row r="12" customFormat="false" ht="23.85" hidden="false" customHeight="false" outlineLevel="0" collapsed="false">
      <c r="A12" s="2" t="s">
        <v>92</v>
      </c>
      <c r="B12" s="2" t="s">
        <v>93</v>
      </c>
      <c r="C12" s="3" t="s">
        <v>42</v>
      </c>
      <c r="D12" s="4" t="n">
        <v>1.5</v>
      </c>
      <c r="E12" s="5" t="n">
        <v>1579</v>
      </c>
      <c r="F12" s="5" t="n">
        <v>1675</v>
      </c>
      <c r="G12" s="5" t="n">
        <v>1982</v>
      </c>
      <c r="H12" s="2" t="s">
        <v>94</v>
      </c>
      <c r="I12" s="4" t="n">
        <v>4.7</v>
      </c>
      <c r="J12" s="2" t="s">
        <v>44</v>
      </c>
      <c r="K12" s="6" t="n">
        <v>168</v>
      </c>
      <c r="L12" s="2" t="s">
        <v>95</v>
      </c>
      <c r="M12" s="3"/>
      <c r="N12" s="3"/>
      <c r="O12" s="7" t="n">
        <f aca="false">IF(OR(I12="",E12="",E12=0),"",ROUND(I12/(E12/1000),2))</f>
        <v>2.98</v>
      </c>
      <c r="P12" s="2" t="s">
        <v>96</v>
      </c>
      <c r="Q12" s="2" t="s">
        <v>97</v>
      </c>
    </row>
    <row r="13" customFormat="false" ht="15" hidden="false" customHeight="false" outlineLevel="0" collapsed="false">
      <c r="A13" s="2" t="s">
        <v>98</v>
      </c>
      <c r="B13" s="2" t="s">
        <v>99</v>
      </c>
      <c r="C13" s="3" t="s">
        <v>42</v>
      </c>
      <c r="D13" s="4" t="n">
        <v>1.5</v>
      </c>
      <c r="E13" s="5" t="n">
        <v>875</v>
      </c>
      <c r="F13" s="5"/>
      <c r="G13" s="5"/>
      <c r="H13" s="2" t="s">
        <v>100</v>
      </c>
      <c r="I13" s="4"/>
      <c r="J13" s="2"/>
      <c r="K13" s="6" t="n">
        <v>31</v>
      </c>
      <c r="L13" s="2" t="s">
        <v>101</v>
      </c>
      <c r="M13" s="3"/>
      <c r="N13" s="3"/>
      <c r="O13" s="7" t="str">
        <f aca="false">IF(OR(I13="",E13="",E13=0),"",ROUND(I13/(E13/1000),2))</f>
        <v/>
      </c>
      <c r="P13" s="2" t="s">
        <v>102</v>
      </c>
      <c r="Q13" s="2" t="s">
        <v>103</v>
      </c>
    </row>
    <row r="14" customFormat="false" ht="23.85" hidden="false" customHeight="false" outlineLevel="0" collapsed="false">
      <c r="A14" s="2" t="s">
        <v>104</v>
      </c>
      <c r="B14" s="2" t="s">
        <v>105</v>
      </c>
      <c r="C14" s="3" t="s">
        <v>19</v>
      </c>
      <c r="D14" s="4" t="n">
        <v>1.5</v>
      </c>
      <c r="E14" s="5" t="n">
        <v>809</v>
      </c>
      <c r="F14" s="5" t="n">
        <v>1154</v>
      </c>
      <c r="G14" s="5" t="n">
        <v>1564</v>
      </c>
      <c r="H14" s="2" t="s">
        <v>106</v>
      </c>
      <c r="I14" s="4" t="n">
        <v>3.8</v>
      </c>
      <c r="J14" s="2" t="s">
        <v>44</v>
      </c>
      <c r="K14" s="6" t="n">
        <v>203</v>
      </c>
      <c r="L14" s="2" t="s">
        <v>107</v>
      </c>
      <c r="M14" s="3" t="s">
        <v>37</v>
      </c>
      <c r="N14" s="3" t="s">
        <v>108</v>
      </c>
      <c r="O14" s="7" t="n">
        <f aca="false">IF(OR(I14="",E14="",E14=0),"",ROUND(I14/(E14/1000),2))</f>
        <v>4.7</v>
      </c>
      <c r="P14" s="2" t="s">
        <v>109</v>
      </c>
      <c r="Q14" s="2" t="s">
        <v>110</v>
      </c>
    </row>
    <row r="15" customFormat="false" ht="15" hidden="false" customHeight="false" outlineLevel="0" collapsed="false">
      <c r="A15" s="2" t="s">
        <v>111</v>
      </c>
      <c r="B15" s="2" t="s">
        <v>112</v>
      </c>
      <c r="C15" s="3" t="s">
        <v>19</v>
      </c>
      <c r="D15" s="4" t="n">
        <v>1.5</v>
      </c>
      <c r="E15" s="5" t="n">
        <v>770</v>
      </c>
      <c r="F15" s="5" t="n">
        <v>1278</v>
      </c>
      <c r="G15" s="5"/>
      <c r="H15" s="2" t="s">
        <v>113</v>
      </c>
      <c r="I15" s="4"/>
      <c r="J15" s="2"/>
      <c r="K15" s="6" t="n">
        <v>78</v>
      </c>
      <c r="L15" s="2" t="s">
        <v>114</v>
      </c>
      <c r="M15" s="3" t="s">
        <v>89</v>
      </c>
      <c r="N15" s="3"/>
      <c r="O15" s="7" t="str">
        <f aca="false">IF(OR(I15="",E15="",E15=0),"",ROUND(I15/(E15/1000),2))</f>
        <v/>
      </c>
      <c r="P15" s="2" t="s">
        <v>115</v>
      </c>
      <c r="Q15" s="2" t="s">
        <v>116</v>
      </c>
    </row>
    <row r="16" customFormat="false" ht="23.85" hidden="false" customHeight="false" outlineLevel="0" collapsed="false">
      <c r="A16" s="2" t="s">
        <v>117</v>
      </c>
      <c r="B16" s="2" t="s">
        <v>118</v>
      </c>
      <c r="C16" s="3" t="s">
        <v>19</v>
      </c>
      <c r="D16" s="4" t="n">
        <v>1.6</v>
      </c>
      <c r="E16" s="5" t="n">
        <v>827</v>
      </c>
      <c r="F16" s="5" t="n">
        <v>1146</v>
      </c>
      <c r="G16" s="5"/>
      <c r="H16" s="2" t="s">
        <v>119</v>
      </c>
      <c r="I16" s="4" t="n">
        <v>3.4</v>
      </c>
      <c r="J16" s="2" t="s">
        <v>44</v>
      </c>
      <c r="K16" s="6" t="n">
        <v>78</v>
      </c>
      <c r="L16" s="2" t="s">
        <v>120</v>
      </c>
      <c r="M16" s="3" t="s">
        <v>121</v>
      </c>
      <c r="N16" s="3" t="s">
        <v>122</v>
      </c>
      <c r="O16" s="7" t="n">
        <f aca="false">IF(OR(I16="",E16="",E16=0),"",ROUND(I16/(E16/1000),2))</f>
        <v>4.11</v>
      </c>
      <c r="P16" s="2" t="s">
        <v>123</v>
      </c>
      <c r="Q16" s="2" t="s">
        <v>124</v>
      </c>
    </row>
    <row r="17" customFormat="false" ht="15" hidden="false" customHeight="false" outlineLevel="0" collapsed="false">
      <c r="A17" s="2" t="s">
        <v>125</v>
      </c>
      <c r="B17" s="2" t="s">
        <v>126</v>
      </c>
      <c r="C17" s="3" t="s">
        <v>19</v>
      </c>
      <c r="D17" s="4" t="n">
        <v>1.7</v>
      </c>
      <c r="E17" s="5" t="n">
        <v>870</v>
      </c>
      <c r="F17" s="5"/>
      <c r="G17" s="5"/>
      <c r="H17" s="2" t="s">
        <v>127</v>
      </c>
      <c r="I17" s="4" t="n">
        <v>3.9</v>
      </c>
      <c r="J17" s="2" t="s">
        <v>128</v>
      </c>
      <c r="K17" s="6" t="n">
        <v>2</v>
      </c>
      <c r="L17" s="2" t="s">
        <v>129</v>
      </c>
      <c r="M17" s="3" t="s">
        <v>60</v>
      </c>
      <c r="N17" s="3"/>
      <c r="O17" s="7" t="n">
        <f aca="false">IF(OR(I17="",E17="",E17=0),"",ROUND(I17/(E17/1000),2))</f>
        <v>4.48</v>
      </c>
      <c r="P17" s="2" t="s">
        <v>130</v>
      </c>
      <c r="Q17" s="2" t="s">
        <v>131</v>
      </c>
    </row>
    <row r="18" customFormat="false" ht="23.85" hidden="false" customHeight="false" outlineLevel="0" collapsed="false">
      <c r="A18" s="2" t="s">
        <v>132</v>
      </c>
      <c r="B18" s="2" t="s">
        <v>133</v>
      </c>
      <c r="C18" s="3" t="s">
        <v>19</v>
      </c>
      <c r="D18" s="4" t="n">
        <v>1.8</v>
      </c>
      <c r="E18" s="5" t="n">
        <v>1060</v>
      </c>
      <c r="F18" s="5" t="n">
        <v>1558</v>
      </c>
      <c r="G18" s="5" t="n">
        <v>2525</v>
      </c>
      <c r="H18" s="2" t="s">
        <v>134</v>
      </c>
      <c r="I18" s="4" t="n">
        <v>4.7</v>
      </c>
      <c r="J18" s="2" t="s">
        <v>135</v>
      </c>
      <c r="K18" s="6" t="n">
        <v>566</v>
      </c>
      <c r="L18" s="2" t="s">
        <v>136</v>
      </c>
      <c r="M18" s="3"/>
      <c r="N18" s="3"/>
      <c r="O18" s="7" t="n">
        <f aca="false">IF(OR(I18="",E18="",E18=0),"",ROUND(I18/(E18/1000),2))</f>
        <v>4.43</v>
      </c>
      <c r="P18" s="2" t="s">
        <v>137</v>
      </c>
      <c r="Q18" s="2" t="s">
        <v>138</v>
      </c>
    </row>
    <row r="19" customFormat="false" ht="23.85" hidden="false" customHeight="false" outlineLevel="0" collapsed="false">
      <c r="A19" s="2" t="s">
        <v>139</v>
      </c>
      <c r="B19" s="2" t="s">
        <v>140</v>
      </c>
      <c r="C19" s="3" t="s">
        <v>19</v>
      </c>
      <c r="D19" s="4" t="n">
        <v>1.9</v>
      </c>
      <c r="E19" s="5" t="n">
        <v>965</v>
      </c>
      <c r="F19" s="5" t="n">
        <v>1310</v>
      </c>
      <c r="G19" s="5" t="n">
        <v>1835</v>
      </c>
      <c r="H19" s="2" t="s">
        <v>141</v>
      </c>
      <c r="I19" s="4" t="n">
        <v>3.8</v>
      </c>
      <c r="J19" s="2" t="s">
        <v>81</v>
      </c>
      <c r="K19" s="6" t="n">
        <v>76</v>
      </c>
      <c r="L19" s="2" t="s">
        <v>142</v>
      </c>
      <c r="M19" s="3"/>
      <c r="N19" s="3"/>
      <c r="O19" s="7" t="n">
        <f aca="false">IF(OR(I19="",E19="",E19=0),"",ROUND(I19/(E19/1000),2))</f>
        <v>3.94</v>
      </c>
      <c r="P19" s="2" t="s">
        <v>143</v>
      </c>
      <c r="Q19" s="2" t="s">
        <v>144</v>
      </c>
    </row>
    <row r="20" customFormat="false" ht="23.85" hidden="false" customHeight="false" outlineLevel="0" collapsed="false">
      <c r="A20" s="2" t="s">
        <v>145</v>
      </c>
      <c r="B20" s="2" t="s">
        <v>146</v>
      </c>
      <c r="C20" s="3" t="s">
        <v>19</v>
      </c>
      <c r="D20" s="4" t="n">
        <v>2</v>
      </c>
      <c r="E20" s="5" t="n">
        <v>633</v>
      </c>
      <c r="F20" s="5"/>
      <c r="G20" s="5"/>
      <c r="H20" s="2" t="s">
        <v>147</v>
      </c>
      <c r="I20" s="4"/>
      <c r="J20" s="2"/>
      <c r="K20" s="6" t="n">
        <v>23</v>
      </c>
      <c r="L20" s="2" t="s">
        <v>148</v>
      </c>
      <c r="M20" s="3"/>
      <c r="N20" s="3"/>
      <c r="O20" s="7" t="str">
        <f aca="false">IF(OR(I20="",E20="",E20=0),"",ROUND(I20/(E20/1000),2))</f>
        <v/>
      </c>
      <c r="P20" s="2" t="s">
        <v>149</v>
      </c>
      <c r="Q20" s="2" t="s">
        <v>150</v>
      </c>
    </row>
    <row r="21" customFormat="false" ht="23.85" hidden="false" customHeight="false" outlineLevel="0" collapsed="false">
      <c r="A21" s="2" t="s">
        <v>151</v>
      </c>
      <c r="B21" s="2" t="s">
        <v>152</v>
      </c>
      <c r="C21" s="3" t="s">
        <v>153</v>
      </c>
      <c r="D21" s="4" t="n">
        <v>2</v>
      </c>
      <c r="E21" s="5" t="n">
        <v>971</v>
      </c>
      <c r="F21" s="5" t="n">
        <v>1418</v>
      </c>
      <c r="G21" s="5" t="n">
        <v>1999</v>
      </c>
      <c r="H21" s="2" t="s">
        <v>154</v>
      </c>
      <c r="I21" s="4" t="n">
        <v>3.9</v>
      </c>
      <c r="J21" s="2" t="s">
        <v>81</v>
      </c>
      <c r="K21" s="6" t="n">
        <v>200</v>
      </c>
      <c r="L21" s="2" t="s">
        <v>155</v>
      </c>
      <c r="M21" s="3"/>
      <c r="N21" s="3"/>
      <c r="O21" s="7" t="n">
        <f aca="false">IF(OR(I21="",E21="",E21=0),"",ROUND(I21/(E21/1000),2))</f>
        <v>4.02</v>
      </c>
      <c r="P21" s="2" t="s">
        <v>156</v>
      </c>
      <c r="Q21" s="2" t="s">
        <v>157</v>
      </c>
    </row>
    <row r="22" customFormat="false" ht="23.85" hidden="false" customHeight="false" outlineLevel="0" collapsed="false">
      <c r="A22" s="2" t="s">
        <v>158</v>
      </c>
      <c r="B22" s="2" t="s">
        <v>159</v>
      </c>
      <c r="C22" s="3" t="s">
        <v>19</v>
      </c>
      <c r="D22" s="4" t="n">
        <v>2</v>
      </c>
      <c r="E22" s="5" t="n">
        <v>685</v>
      </c>
      <c r="F22" s="5" t="n">
        <v>1025</v>
      </c>
      <c r="G22" s="5"/>
      <c r="H22" s="2" t="s">
        <v>160</v>
      </c>
      <c r="I22" s="4" t="n">
        <v>3.3</v>
      </c>
      <c r="J22" s="2" t="s">
        <v>44</v>
      </c>
      <c r="K22" s="6" t="n">
        <v>149</v>
      </c>
      <c r="L22" s="2" t="s">
        <v>161</v>
      </c>
      <c r="M22" s="3" t="s">
        <v>162</v>
      </c>
      <c r="N22" s="3"/>
      <c r="O22" s="7" t="n">
        <f aca="false">IF(OR(I22="",E22="",E22=0),"",ROUND(I22/(E22/1000),2))</f>
        <v>4.82</v>
      </c>
      <c r="P22" s="2" t="s">
        <v>163</v>
      </c>
      <c r="Q22" s="2" t="s">
        <v>164</v>
      </c>
    </row>
    <row r="23" customFormat="false" ht="23.85" hidden="false" customHeight="false" outlineLevel="0" collapsed="false">
      <c r="A23" s="2" t="s">
        <v>165</v>
      </c>
      <c r="B23" s="2" t="s">
        <v>166</v>
      </c>
      <c r="C23" s="3" t="s">
        <v>19</v>
      </c>
      <c r="D23" s="4" t="n">
        <v>2</v>
      </c>
      <c r="E23" s="5" t="n">
        <v>499</v>
      </c>
      <c r="F23" s="5"/>
      <c r="G23" s="5"/>
      <c r="H23" s="2" t="s">
        <v>167</v>
      </c>
      <c r="I23" s="4" t="n">
        <v>2.7</v>
      </c>
      <c r="J23" s="2" t="s">
        <v>44</v>
      </c>
      <c r="K23" s="6" t="n">
        <v>85</v>
      </c>
      <c r="L23" s="2" t="s">
        <v>168</v>
      </c>
      <c r="M23" s="3" t="s">
        <v>162</v>
      </c>
      <c r="N23" s="3"/>
      <c r="O23" s="7" t="n">
        <f aca="false">IF(OR(I23="",E23="",E23=0),"",ROUND(I23/(E23/1000),2))</f>
        <v>5.41</v>
      </c>
      <c r="P23" s="2" t="s">
        <v>169</v>
      </c>
      <c r="Q23" s="2" t="s">
        <v>170</v>
      </c>
    </row>
    <row r="24" customFormat="false" ht="15" hidden="false" customHeight="false" outlineLevel="0" collapsed="false">
      <c r="A24" s="2" t="s">
        <v>171</v>
      </c>
      <c r="B24" s="2" t="s">
        <v>172</v>
      </c>
      <c r="C24" s="3" t="s">
        <v>42</v>
      </c>
      <c r="D24" s="4" t="n">
        <v>2</v>
      </c>
      <c r="E24" s="5" t="n">
        <v>1017</v>
      </c>
      <c r="F24" s="5"/>
      <c r="G24" s="5"/>
      <c r="H24" s="2" t="s">
        <v>173</v>
      </c>
      <c r="I24" s="4"/>
      <c r="J24" s="2"/>
      <c r="K24" s="6"/>
      <c r="L24" s="2" t="s">
        <v>88</v>
      </c>
      <c r="M24" s="3"/>
      <c r="N24" s="3"/>
      <c r="O24" s="7" t="str">
        <f aca="false">IF(OR(I24="",E24="",E24=0),"",ROUND(I24/(E24/1000),2))</f>
        <v/>
      </c>
      <c r="P24" s="2" t="s">
        <v>174</v>
      </c>
      <c r="Q24" s="2" t="s">
        <v>175</v>
      </c>
    </row>
    <row r="25" customFormat="false" ht="23.85" hidden="false" customHeight="false" outlineLevel="0" collapsed="false">
      <c r="A25" s="2" t="s">
        <v>176</v>
      </c>
      <c r="B25" s="2" t="s">
        <v>177</v>
      </c>
      <c r="C25" s="3" t="s">
        <v>19</v>
      </c>
      <c r="D25" s="4" t="n">
        <v>2</v>
      </c>
      <c r="E25" s="5" t="n">
        <v>725</v>
      </c>
      <c r="F25" s="5"/>
      <c r="G25" s="5"/>
      <c r="H25" s="2" t="s">
        <v>178</v>
      </c>
      <c r="I25" s="4" t="n">
        <v>3.1</v>
      </c>
      <c r="J25" s="2" t="s">
        <v>179</v>
      </c>
      <c r="K25" s="6" t="n">
        <v>317</v>
      </c>
      <c r="L25" s="2" t="s">
        <v>180</v>
      </c>
      <c r="M25" s="3" t="s">
        <v>181</v>
      </c>
      <c r="N25" s="3"/>
      <c r="O25" s="7" t="n">
        <f aca="false">IF(OR(I25="",E25="",E25=0),"",ROUND(I25/(E25/1000),2))</f>
        <v>4.28</v>
      </c>
      <c r="P25" s="2" t="s">
        <v>182</v>
      </c>
      <c r="Q25" s="2" t="s">
        <v>183</v>
      </c>
    </row>
    <row r="26" customFormat="false" ht="23.85" hidden="false" customHeight="false" outlineLevel="0" collapsed="false">
      <c r="A26" s="2" t="s">
        <v>184</v>
      </c>
      <c r="B26" s="2" t="s">
        <v>185</v>
      </c>
      <c r="C26" s="3" t="s">
        <v>42</v>
      </c>
      <c r="D26" s="4" t="n">
        <v>2.3</v>
      </c>
      <c r="E26" s="5" t="n">
        <v>1175</v>
      </c>
      <c r="F26" s="5"/>
      <c r="G26" s="5"/>
      <c r="H26" s="2" t="s">
        <v>186</v>
      </c>
      <c r="I26" s="4"/>
      <c r="J26" s="2"/>
      <c r="K26" s="6" t="n">
        <v>50</v>
      </c>
      <c r="L26" s="2" t="s">
        <v>187</v>
      </c>
      <c r="M26" s="3"/>
      <c r="N26" s="3"/>
      <c r="O26" s="7" t="str">
        <f aca="false">IF(OR(I26="",E26="",E26=0),"",ROUND(I26/(E26/1000),2))</f>
        <v/>
      </c>
      <c r="P26" s="2" t="s">
        <v>188</v>
      </c>
      <c r="Q26" s="2" t="s">
        <v>189</v>
      </c>
    </row>
    <row r="27" customFormat="false" ht="15" hidden="false" customHeight="false" outlineLevel="0" collapsed="false">
      <c r="A27" s="2" t="s">
        <v>190</v>
      </c>
      <c r="B27" s="2" t="s">
        <v>191</v>
      </c>
      <c r="C27" s="3" t="s">
        <v>19</v>
      </c>
      <c r="D27" s="4" t="n">
        <v>2.5</v>
      </c>
      <c r="E27" s="5" t="n">
        <v>665</v>
      </c>
      <c r="F27" s="5" t="n">
        <v>895</v>
      </c>
      <c r="G27" s="5"/>
      <c r="H27" s="2" t="s">
        <v>192</v>
      </c>
      <c r="I27" s="4"/>
      <c r="J27" s="2"/>
      <c r="K27" s="6"/>
      <c r="L27" s="2" t="s">
        <v>193</v>
      </c>
      <c r="M27" s="3" t="s">
        <v>162</v>
      </c>
      <c r="N27" s="3" t="s">
        <v>108</v>
      </c>
      <c r="O27" s="7" t="str">
        <f aca="false">IF(OR(I27="",E27="",E27=0),"",ROUND(I27/(E27/1000),2))</f>
        <v/>
      </c>
      <c r="P27" s="2" t="s">
        <v>194</v>
      </c>
      <c r="Q27" s="2" t="s">
        <v>195</v>
      </c>
    </row>
    <row r="28" customFormat="false" ht="23.85" hidden="false" customHeight="false" outlineLevel="0" collapsed="false">
      <c r="A28" s="2" t="s">
        <v>196</v>
      </c>
      <c r="B28" s="2" t="s">
        <v>197</v>
      </c>
      <c r="C28" s="3" t="s">
        <v>198</v>
      </c>
      <c r="D28" s="4" t="n">
        <v>2.5</v>
      </c>
      <c r="E28" s="5" t="n">
        <v>1016</v>
      </c>
      <c r="F28" s="5" t="n">
        <v>1690</v>
      </c>
      <c r="G28" s="5" t="n">
        <v>2045</v>
      </c>
      <c r="H28" s="2" t="s">
        <v>199</v>
      </c>
      <c r="I28" s="4" t="n">
        <v>3.8</v>
      </c>
      <c r="J28" s="2" t="s">
        <v>81</v>
      </c>
      <c r="K28" s="6" t="n">
        <v>272</v>
      </c>
      <c r="L28" s="2" t="s">
        <v>200</v>
      </c>
      <c r="M28" s="3" t="s">
        <v>201</v>
      </c>
      <c r="N28" s="3"/>
      <c r="O28" s="7" t="n">
        <f aca="false">IF(OR(I28="",E28="",E28=0),"",ROUND(I28/(E28/1000),2))</f>
        <v>3.74</v>
      </c>
      <c r="P28" s="2" t="s">
        <v>202</v>
      </c>
      <c r="Q28" s="2" t="s">
        <v>203</v>
      </c>
    </row>
    <row r="29" customFormat="false" ht="23.85" hidden="false" customHeight="false" outlineLevel="0" collapsed="false">
      <c r="A29" s="2" t="s">
        <v>204</v>
      </c>
      <c r="B29" s="2" t="s">
        <v>205</v>
      </c>
      <c r="C29" s="3" t="s">
        <v>42</v>
      </c>
      <c r="D29" s="4" t="n">
        <v>2.5</v>
      </c>
      <c r="E29" s="5" t="n">
        <v>810</v>
      </c>
      <c r="F29" s="5" t="n">
        <v>1075</v>
      </c>
      <c r="G29" s="5"/>
      <c r="H29" s="2" t="s">
        <v>206</v>
      </c>
      <c r="I29" s="4"/>
      <c r="J29" s="2"/>
      <c r="K29" s="6"/>
      <c r="L29" s="2" t="s">
        <v>88</v>
      </c>
      <c r="M29" s="3" t="s">
        <v>89</v>
      </c>
      <c r="N29" s="3"/>
      <c r="O29" s="7" t="str">
        <f aca="false">IF(OR(I29="",E29="",E29=0),"",ROUND(I29/(E29/1000),2))</f>
        <v/>
      </c>
      <c r="P29" s="2" t="s">
        <v>207</v>
      </c>
      <c r="Q29" s="2" t="s">
        <v>208</v>
      </c>
    </row>
    <row r="30" customFormat="false" ht="23.85" hidden="false" customHeight="false" outlineLevel="0" collapsed="false">
      <c r="A30" s="2" t="s">
        <v>209</v>
      </c>
      <c r="B30" s="2" t="s">
        <v>210</v>
      </c>
      <c r="C30" s="3" t="s">
        <v>211</v>
      </c>
      <c r="D30" s="4" t="n">
        <v>2.8</v>
      </c>
      <c r="E30" s="5" t="n">
        <v>990</v>
      </c>
      <c r="F30" s="5"/>
      <c r="G30" s="5"/>
      <c r="H30" s="2" t="s">
        <v>212</v>
      </c>
      <c r="I30" s="4"/>
      <c r="J30" s="2"/>
      <c r="K30" s="6"/>
      <c r="L30" s="2" t="s">
        <v>88</v>
      </c>
      <c r="M30" s="3" t="s">
        <v>213</v>
      </c>
      <c r="N30" s="3"/>
      <c r="O30" s="7" t="str">
        <f aca="false">IF(OR(I30="",E30="",E30=0),"",ROUND(I30/(E30/1000),2))</f>
        <v/>
      </c>
      <c r="P30" s="2" t="s">
        <v>214</v>
      </c>
      <c r="Q30" s="2" t="s">
        <v>215</v>
      </c>
    </row>
    <row r="31" customFormat="false" ht="23.85" hidden="false" customHeight="false" outlineLevel="0" collapsed="false">
      <c r="A31" s="2" t="s">
        <v>216</v>
      </c>
      <c r="B31" s="2" t="s">
        <v>217</v>
      </c>
      <c r="C31" s="3" t="s">
        <v>42</v>
      </c>
      <c r="D31" s="4" t="n">
        <v>2.8</v>
      </c>
      <c r="E31" s="5" t="n">
        <v>683</v>
      </c>
      <c r="F31" s="5"/>
      <c r="G31" s="5"/>
      <c r="H31" s="2" t="s">
        <v>218</v>
      </c>
      <c r="I31" s="4" t="n">
        <v>2.5</v>
      </c>
      <c r="J31" s="2" t="s">
        <v>44</v>
      </c>
      <c r="K31" s="6" t="n">
        <v>109</v>
      </c>
      <c r="L31" s="2" t="s">
        <v>219</v>
      </c>
      <c r="M31" s="3"/>
      <c r="N31" s="3" t="s">
        <v>108</v>
      </c>
      <c r="O31" s="7" t="n">
        <f aca="false">IF(OR(I31="",E31="",E31=0),"",ROUND(I31/(E31/1000),2))</f>
        <v>3.66</v>
      </c>
      <c r="P31" s="2" t="s">
        <v>220</v>
      </c>
      <c r="Q31" s="2" t="s">
        <v>221</v>
      </c>
    </row>
    <row r="32" customFormat="false" ht="23.85" hidden="false" customHeight="false" outlineLevel="0" collapsed="false">
      <c r="A32" s="2" t="s">
        <v>222</v>
      </c>
      <c r="B32" s="2" t="s">
        <v>223</v>
      </c>
      <c r="C32" s="3" t="s">
        <v>224</v>
      </c>
      <c r="D32" s="4" t="n">
        <v>3</v>
      </c>
      <c r="E32" s="5" t="n">
        <v>849</v>
      </c>
      <c r="F32" s="5" t="n">
        <v>1230</v>
      </c>
      <c r="G32" s="5"/>
      <c r="H32" s="2" t="s">
        <v>225</v>
      </c>
      <c r="I32" s="4"/>
      <c r="J32" s="2"/>
      <c r="K32" s="6" t="n">
        <v>21</v>
      </c>
      <c r="L32" s="2" t="s">
        <v>226</v>
      </c>
      <c r="M32" s="3"/>
      <c r="N32" s="3"/>
      <c r="O32" s="7" t="str">
        <f aca="false">IF(OR(I32="",E32="",E32=0),"",ROUND(I32/(E32/1000),2))</f>
        <v/>
      </c>
      <c r="P32" s="2" t="s">
        <v>227</v>
      </c>
      <c r="Q32" s="2" t="s">
        <v>228</v>
      </c>
    </row>
    <row r="33" customFormat="false" ht="15" hidden="false" customHeight="false" outlineLevel="0" collapsed="false">
      <c r="A33" s="2" t="s">
        <v>229</v>
      </c>
      <c r="B33" s="2" t="s">
        <v>230</v>
      </c>
      <c r="C33" s="3" t="s">
        <v>42</v>
      </c>
      <c r="D33" s="4" t="n">
        <v>3</v>
      </c>
      <c r="E33" s="5" t="n">
        <v>740</v>
      </c>
      <c r="F33" s="5"/>
      <c r="G33" s="5"/>
      <c r="H33" s="2" t="s">
        <v>231</v>
      </c>
      <c r="I33" s="4" t="n">
        <v>2.5</v>
      </c>
      <c r="J33" s="2" t="s">
        <v>44</v>
      </c>
      <c r="K33" s="6" t="n">
        <v>143</v>
      </c>
      <c r="L33" s="2" t="s">
        <v>232</v>
      </c>
      <c r="M33" s="3"/>
      <c r="N33" s="3"/>
      <c r="O33" s="7" t="n">
        <f aca="false">IF(OR(I33="",E33="",E33=0),"",ROUND(I33/(E33/1000),2))</f>
        <v>3.38</v>
      </c>
      <c r="P33" s="2" t="s">
        <v>233</v>
      </c>
      <c r="Q33" s="2" t="s">
        <v>157</v>
      </c>
    </row>
    <row r="34" customFormat="false" ht="23.85" hidden="false" customHeight="false" outlineLevel="0" collapsed="false">
      <c r="A34" s="2" t="s">
        <v>234</v>
      </c>
      <c r="B34" s="2" t="s">
        <v>235</v>
      </c>
      <c r="C34" s="3" t="s">
        <v>42</v>
      </c>
      <c r="D34" s="4" t="n">
        <v>3</v>
      </c>
      <c r="E34" s="5" t="n">
        <v>1006</v>
      </c>
      <c r="F34" s="5"/>
      <c r="G34" s="5"/>
      <c r="H34" s="2" t="s">
        <v>236</v>
      </c>
      <c r="I34" s="4" t="n">
        <v>2.8</v>
      </c>
      <c r="J34" s="2" t="s">
        <v>44</v>
      </c>
      <c r="K34" s="6" t="n">
        <v>95</v>
      </c>
      <c r="L34" s="2" t="s">
        <v>237</v>
      </c>
      <c r="M34" s="3" t="s">
        <v>53</v>
      </c>
      <c r="N34" s="3"/>
      <c r="O34" s="7" t="n">
        <f aca="false">IF(OR(I34="",E34="",E34=0),"",ROUND(I34/(E34/1000),2))</f>
        <v>2.78</v>
      </c>
      <c r="P34" s="2" t="s">
        <v>238</v>
      </c>
      <c r="Q34" s="2" t="s">
        <v>239</v>
      </c>
    </row>
    <row r="35" customFormat="false" ht="23.85" hidden="false" customHeight="false" outlineLevel="0" collapsed="false">
      <c r="A35" s="2" t="s">
        <v>240</v>
      </c>
      <c r="B35" s="2" t="s">
        <v>241</v>
      </c>
      <c r="C35" s="3" t="s">
        <v>42</v>
      </c>
      <c r="D35" s="4" t="n">
        <v>3</v>
      </c>
      <c r="E35" s="5" t="n">
        <v>762</v>
      </c>
      <c r="F35" s="5" t="n">
        <v>930</v>
      </c>
      <c r="G35" s="5"/>
      <c r="H35" s="2" t="s">
        <v>242</v>
      </c>
      <c r="I35" s="4"/>
      <c r="J35" s="2"/>
      <c r="K35" s="6" t="n">
        <v>107</v>
      </c>
      <c r="L35" s="2" t="s">
        <v>243</v>
      </c>
      <c r="M35" s="3"/>
      <c r="N35" s="3" t="s">
        <v>23</v>
      </c>
      <c r="O35" s="7" t="str">
        <f aca="false">IF(OR(I35="",E35="",E35=0),"",ROUND(I35/(E35/1000),2))</f>
        <v/>
      </c>
      <c r="P35" s="2" t="s">
        <v>244</v>
      </c>
      <c r="Q35" s="2" t="s">
        <v>245</v>
      </c>
    </row>
    <row r="36" customFormat="false" ht="15" hidden="false" customHeight="false" outlineLevel="0" collapsed="false">
      <c r="A36" s="2" t="s">
        <v>246</v>
      </c>
      <c r="B36" s="2" t="s">
        <v>247</v>
      </c>
      <c r="C36" s="3" t="s">
        <v>42</v>
      </c>
      <c r="D36" s="4" t="n">
        <v>3</v>
      </c>
      <c r="E36" s="5" t="n">
        <v>899</v>
      </c>
      <c r="F36" s="5"/>
      <c r="G36" s="5"/>
      <c r="H36" s="2" t="s">
        <v>248</v>
      </c>
      <c r="I36" s="4"/>
      <c r="J36" s="2"/>
      <c r="K36" s="6"/>
      <c r="L36" s="2" t="s">
        <v>88</v>
      </c>
      <c r="M36" s="3"/>
      <c r="N36" s="3"/>
      <c r="O36" s="7" t="str">
        <f aca="false">IF(OR(I36="",E36="",E36=0),"",ROUND(I36/(E36/1000),2))</f>
        <v/>
      </c>
      <c r="P36" s="2" t="s">
        <v>249</v>
      </c>
      <c r="Q36" s="2" t="s">
        <v>175</v>
      </c>
    </row>
    <row r="37" customFormat="false" ht="23.85" hidden="false" customHeight="false" outlineLevel="0" collapsed="false">
      <c r="A37" s="2" t="s">
        <v>250</v>
      </c>
      <c r="B37" s="2" t="s">
        <v>251</v>
      </c>
      <c r="C37" s="3" t="s">
        <v>42</v>
      </c>
      <c r="D37" s="4" t="n">
        <v>3</v>
      </c>
      <c r="E37" s="5" t="n">
        <v>678</v>
      </c>
      <c r="F37" s="5"/>
      <c r="G37" s="5"/>
      <c r="H37" s="2" t="s">
        <v>252</v>
      </c>
      <c r="I37" s="4"/>
      <c r="J37" s="2"/>
      <c r="K37" s="6" t="n">
        <v>102</v>
      </c>
      <c r="L37" s="2" t="s">
        <v>253</v>
      </c>
      <c r="M37" s="3"/>
      <c r="N37" s="3" t="s">
        <v>23</v>
      </c>
      <c r="O37" s="7" t="str">
        <f aca="false">IF(OR(I37="",E37="",E37=0),"",ROUND(I37/(E37/1000),2))</f>
        <v/>
      </c>
      <c r="P37" s="2" t="s">
        <v>254</v>
      </c>
      <c r="Q37" s="2" t="s">
        <v>255</v>
      </c>
    </row>
  </sheetData>
  <autoFilter ref="A1:Q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32.8" hidden="false" customHeight="false" outlineLevel="0" collapsed="false">
      <c r="A1" s="8" t="s">
        <v>256</v>
      </c>
    </row>
    <row r="3" customFormat="false" ht="23.85" hidden="false" customHeight="false" outlineLevel="0" collapsed="false">
      <c r="A3" s="9" t="s">
        <v>257</v>
      </c>
      <c r="B3" s="9" t="s">
        <v>258</v>
      </c>
    </row>
    <row r="4" customFormat="false" ht="23.85" hidden="false" customHeight="false" outlineLevel="0" collapsed="false">
      <c r="A4" s="9" t="s">
        <v>259</v>
      </c>
      <c r="B4" s="9" t="s">
        <v>260</v>
      </c>
    </row>
    <row r="6" customFormat="false" ht="15" hidden="false" customHeight="false" outlineLevel="0" collapsed="false">
      <c r="A6" s="10" t="s">
        <v>261</v>
      </c>
    </row>
    <row r="7" customFormat="false" ht="23.85" hidden="false" customHeight="false" outlineLevel="0" collapsed="false">
      <c r="A7" s="9" t="s">
        <v>262</v>
      </c>
      <c r="B7" s="9" t="s">
        <v>263</v>
      </c>
    </row>
    <row r="8" customFormat="false" ht="15" hidden="false" customHeight="false" outlineLevel="0" collapsed="false">
      <c r="A8" s="9" t="s">
        <v>7</v>
      </c>
      <c r="B8" s="9" t="s">
        <v>264</v>
      </c>
    </row>
    <row r="9" customFormat="false" ht="15" hidden="false" customHeight="false" outlineLevel="0" collapsed="false">
      <c r="A9" s="9" t="s">
        <v>8</v>
      </c>
      <c r="B9" s="9" t="s">
        <v>265</v>
      </c>
    </row>
    <row r="10" customFormat="false" ht="15" hidden="false" customHeight="false" outlineLevel="0" collapsed="false">
      <c r="A10" s="9" t="s">
        <v>10</v>
      </c>
      <c r="B10" s="9" t="s">
        <v>266</v>
      </c>
    </row>
    <row r="11" customFormat="false" ht="23.85" hidden="false" customHeight="false" outlineLevel="0" collapsed="false">
      <c r="A11" s="9" t="s">
        <v>14</v>
      </c>
      <c r="B11" s="9" t="s">
        <v>267</v>
      </c>
    </row>
    <row r="12" customFormat="false" ht="15" hidden="false" customHeight="false" outlineLevel="0" collapsed="false">
      <c r="A12" s="9" t="s">
        <v>13</v>
      </c>
      <c r="B12" s="9" t="s">
        <v>268</v>
      </c>
    </row>
    <row r="14" customFormat="false" ht="15" hidden="false" customHeight="false" outlineLevel="0" collapsed="false">
      <c r="A14" s="10" t="s">
        <v>269</v>
      </c>
    </row>
    <row r="15" customFormat="false" ht="23.85" hidden="false" customHeight="false" outlineLevel="0" collapsed="false">
      <c r="A15" s="9" t="s">
        <v>270</v>
      </c>
      <c r="B15" s="9" t="s">
        <v>271</v>
      </c>
    </row>
    <row r="16" customFormat="false" ht="23.85" hidden="false" customHeight="false" outlineLevel="0" collapsed="false">
      <c r="A16" s="9" t="s">
        <v>272</v>
      </c>
      <c r="B16" s="9" t="s">
        <v>273</v>
      </c>
    </row>
    <row r="17" customFormat="false" ht="35.05" hidden="false" customHeight="false" outlineLevel="0" collapsed="false">
      <c r="A17" s="9" t="s">
        <v>274</v>
      </c>
      <c r="B17" s="9" t="s">
        <v>275</v>
      </c>
    </row>
    <row r="18" customFormat="false" ht="15" hidden="false" customHeight="false" outlineLevel="0" collapsed="false">
      <c r="A18" s="9" t="s">
        <v>276</v>
      </c>
      <c r="B18" s="9" t="s">
        <v>277</v>
      </c>
    </row>
    <row r="19" customFormat="false" ht="15" hidden="false" customHeight="false" outlineLevel="0" collapsed="false">
      <c r="A19" s="9" t="s">
        <v>278</v>
      </c>
      <c r="B19" s="9" t="s">
        <v>279</v>
      </c>
    </row>
    <row r="21" customFormat="false" ht="15" hidden="false" customHeight="false" outlineLevel="0" collapsed="false">
      <c r="A21" s="10" t="s">
        <v>280</v>
      </c>
    </row>
    <row r="22" customFormat="false" ht="15" hidden="false" customHeight="false" outlineLevel="0" collapsed="false">
      <c r="A22" s="9" t="s">
        <v>281</v>
      </c>
      <c r="B22" s="9" t="n">
        <f aca="false">COUNTA(Apartments!A2:A37)</f>
        <v>36</v>
      </c>
    </row>
    <row r="23" customFormat="false" ht="15" hidden="false" customHeight="false" outlineLevel="0" collapsed="false">
      <c r="A23" s="9" t="s">
        <v>282</v>
      </c>
      <c r="B23" s="11" t="n">
        <f aca="false">MIN(Apartments!E2:E37)</f>
        <v>499</v>
      </c>
    </row>
    <row r="24" customFormat="false" ht="15" hidden="false" customHeight="false" outlineLevel="0" collapsed="false">
      <c r="A24" s="9" t="s">
        <v>283</v>
      </c>
      <c r="B24" s="11" t="n">
        <f aca="false">MAX(Apartments!E2:E37)</f>
        <v>1579</v>
      </c>
    </row>
    <row r="25" customFormat="false" ht="15" hidden="false" customHeight="false" outlineLevel="0" collapsed="false">
      <c r="A25" s="9" t="s">
        <v>284</v>
      </c>
      <c r="B25" s="11" t="n">
        <f aca="false">ROUND(AVERAGE(Apartments!E2:E37),0)</f>
        <v>873</v>
      </c>
    </row>
    <row r="26" customFormat="false" ht="15" hidden="false" customHeight="false" outlineLevel="0" collapsed="false">
      <c r="A26" s="9" t="s">
        <v>285</v>
      </c>
      <c r="B26" s="12" t="n">
        <f aca="false">MAX(Apartments!I2:I37)</f>
        <v>4.7</v>
      </c>
    </row>
    <row r="27" customFormat="false" ht="15" hidden="false" customHeight="false" outlineLevel="0" collapsed="false">
      <c r="A27" s="9" t="s">
        <v>286</v>
      </c>
      <c r="B27" s="12" t="n">
        <f aca="false">ROUND(AVERAGE(Apartments!I2:I37),2)</f>
        <v>3.64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2026-07-21T22:39:31Z</dcterms:created>
  <dc:creator>openpyxl</dc:creator>
  <dc:description/>
  <dc:language>en-US</dc:language>
  <cp:lastModifiedBy/>
  <dcterms:modified xsi:type="dcterms:W3CDTF">2026-07-21T22:39:31Z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